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507427\Desktop\WHS overviews\"/>
    </mc:Choice>
  </mc:AlternateContent>
  <xr:revisionPtr revIDLastSave="0" documentId="8_{9F34E582-8B3B-43AE-B46F-C25E4E220F84}" xr6:coauthVersionLast="47" xr6:coauthVersionMax="47" xr10:uidLastSave="{00000000-0000-0000-0000-000000000000}"/>
  <bookViews>
    <workbookView xWindow="14010" yWindow="-16350" windowWidth="29040" windowHeight="15720" xr2:uid="{B41D95FE-2173-4701-9930-A61389160544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I32" i="1"/>
  <c r="I20" i="1"/>
  <c r="I12" i="1"/>
</calcChain>
</file>

<file path=xl/sharedStrings.xml><?xml version="1.0" encoding="utf-8"?>
<sst xmlns="http://schemas.openxmlformats.org/spreadsheetml/2006/main" count="134" uniqueCount="66">
  <si>
    <t>Account</t>
  </si>
  <si>
    <t>Assignment</t>
  </si>
  <si>
    <t>Document Number</t>
  </si>
  <si>
    <t>Reference Key 3</t>
  </si>
  <si>
    <t>Document Date</t>
  </si>
  <si>
    <t>Net due date</t>
  </si>
  <si>
    <t>Document Type</t>
  </si>
  <si>
    <t>Amount in local currency</t>
  </si>
  <si>
    <t>30111788</t>
  </si>
  <si>
    <t>29700834</t>
  </si>
  <si>
    <t>RV</t>
  </si>
  <si>
    <t>29087912</t>
  </si>
  <si>
    <t>29017202</t>
  </si>
  <si>
    <t>29018886</t>
  </si>
  <si>
    <t>29069042</t>
  </si>
  <si>
    <t>29075235</t>
  </si>
  <si>
    <t>TOTAL</t>
  </si>
  <si>
    <t>9954931535</t>
  </si>
  <si>
    <t>40956</t>
  </si>
  <si>
    <t>9954932428</t>
  </si>
  <si>
    <t>41710</t>
  </si>
  <si>
    <t>9954935035</t>
  </si>
  <si>
    <t>43871</t>
  </si>
  <si>
    <t>9954936818</t>
  </si>
  <si>
    <t>45355</t>
  </si>
  <si>
    <t>9954949188</t>
  </si>
  <si>
    <t>56042</t>
  </si>
  <si>
    <t>9954949337</t>
  </si>
  <si>
    <t>56191</t>
  </si>
  <si>
    <t>9954949446</t>
  </si>
  <si>
    <t>56300</t>
  </si>
  <si>
    <t>9954953253</t>
  </si>
  <si>
    <t>59659</t>
  </si>
  <si>
    <t>100136031</t>
  </si>
  <si>
    <t>AB</t>
  </si>
  <si>
    <t>9954941363</t>
  </si>
  <si>
    <t>49285</t>
  </si>
  <si>
    <t>9954933089</t>
  </si>
  <si>
    <t>42234</t>
  </si>
  <si>
    <t>29078913</t>
  </si>
  <si>
    <t>9954933125</t>
  </si>
  <si>
    <t>42261</t>
  </si>
  <si>
    <t>9954937199</t>
  </si>
  <si>
    <t>45701</t>
  </si>
  <si>
    <t>9954938375</t>
  </si>
  <si>
    <t>46710</t>
  </si>
  <si>
    <t>100143599</t>
  </si>
  <si>
    <t>9954932543</t>
  </si>
  <si>
    <t>41804</t>
  </si>
  <si>
    <t>9954933086</t>
  </si>
  <si>
    <t>42231</t>
  </si>
  <si>
    <t>9954956999</t>
  </si>
  <si>
    <t>62658</t>
  </si>
  <si>
    <t>9954957060</t>
  </si>
  <si>
    <t>62719</t>
  </si>
  <si>
    <t>9954957076</t>
  </si>
  <si>
    <t>62735</t>
  </si>
  <si>
    <t>9954949287</t>
  </si>
  <si>
    <t>56141</t>
  </si>
  <si>
    <t>826  EUR5426062</t>
  </si>
  <si>
    <t>2000040517</t>
  </si>
  <si>
    <t>ZP</t>
  </si>
  <si>
    <t>9954950762</t>
  </si>
  <si>
    <t>57569</t>
  </si>
  <si>
    <t>9954942491</t>
  </si>
  <si>
    <t>50231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</si>
</sst>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9" formatCode="dd/mm/yyyy"/>
  </numFmts>
  <fonts count="25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u/>
      <sz val="20"/>
      <name val="Arial"/>
      <family val="2"/>
    </font>
    <font>
      <sz val="10"/>
      <name val="Arial"/>
      <family val="2"/>
    </font>
    <font>
      <sz val="20"/>
      <name val="Arial"/>
      <family val="2"/>
    </font>
    <font>
      <b/>
      <sz val="18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20" fillId="0" borderId="0" applyFont="0" applyFill="0" applyBorder="0" applyAlignment="0" applyProtection="0"/>
  </cellStyleXfs>
  <cellXfs count="17">
    <xf numFmtId="0" fontId="18" fillId="0" borderId="0" xfId="0" applyFont="1"/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14" fontId="0" fillId="34" borderId="10" xfId="0" applyNumberFormat="1" applyFill="1" applyBorder="1" applyAlignment="1">
      <alignment horizontal="right"/>
    </xf>
    <xf numFmtId="164" fontId="0" fillId="34" borderId="10" xfId="0" applyNumberFormat="1" applyFill="1" applyBorder="1" applyAlignment="1">
      <alignment horizontal="right"/>
    </xf>
    <xf numFmtId="164" fontId="18" fillId="0" borderId="0" xfId="0" applyNumberFormat="1" applyFont="1"/>
    <xf numFmtId="164" fontId="0" fillId="33" borderId="10" xfId="0" applyNumberFormat="1" applyFill="1" applyBorder="1"/>
    <xf numFmtId="0" fontId="19" fillId="0" borderId="0" xfId="0" applyFont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164" fontId="22" fillId="35" borderId="0" xfId="42" applyNumberFormat="1" applyFont="1" applyFill="1" applyAlignment="1">
      <alignment horizontal="center" vertical="center"/>
    </xf>
    <xf numFmtId="0" fontId="23" fillId="36" borderId="0" xfId="0" applyFont="1" applyFill="1" applyAlignment="1">
      <alignment horizontal="left" vertical="center"/>
    </xf>
    <xf numFmtId="169" fontId="23" fillId="36" borderId="0" xfId="0" applyNumberFormat="1" applyFont="1" applyFill="1" applyAlignment="1">
      <alignment horizontal="left" vertical="center"/>
    </xf>
    <xf numFmtId="4" fontId="24" fillId="36" borderId="0" xfId="0" applyNumberFormat="1" applyFont="1" applyFill="1" applyAlignment="1">
      <alignment horizontal="right" vertical="center"/>
    </xf>
    <xf numFmtId="0" fontId="23" fillId="6" borderId="0" xfId="0" applyFont="1" applyFill="1" applyAlignment="1">
      <alignment horizontal="left" vertical="center"/>
    </xf>
    <xf numFmtId="169" fontId="23" fillId="6" borderId="0" xfId="0" applyNumberFormat="1" applyFont="1" applyFill="1" applyAlignment="1">
      <alignment horizontal="left" vertical="center"/>
    </xf>
    <xf numFmtId="4" fontId="24" fillId="6" borderId="0" xfId="0" applyNumberFormat="1" applyFont="1" applyFill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F74E-04B4-45BA-9578-2AF2450D7231}">
  <dimension ref="A1:M32"/>
  <sheetViews>
    <sheetView tabSelected="1" topLeftCell="C1" workbookViewId="0">
      <selection activeCell="O23" sqref="O23"/>
    </sheetView>
  </sheetViews>
  <sheetFormatPr defaultColWidth="11.453125" defaultRowHeight="12.5" outlineLevelRow="2" x14ac:dyDescent="0.25"/>
  <cols>
    <col min="1" max="1" width="9" bestFit="1" customWidth="1"/>
    <col min="2" max="2" width="11" bestFit="1" customWidth="1"/>
    <col min="3" max="3" width="16.54296875" bestFit="1" customWidth="1"/>
    <col min="4" max="4" width="14.81640625" bestFit="1" customWidth="1"/>
    <col min="5" max="5" width="14" bestFit="1" customWidth="1"/>
    <col min="6" max="6" width="11.54296875" bestFit="1" customWidth="1"/>
    <col min="7" max="7" width="14.1796875" bestFit="1" customWidth="1"/>
    <col min="8" max="8" width="22" bestFit="1" customWidth="1"/>
    <col min="9" max="9" width="23.81640625" customWidth="1"/>
  </cols>
  <sheetData>
    <row r="1" spans="1:13" x14ac:dyDescent="0.25">
      <c r="A1" s="8">
        <v>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13" outlineLevel="2" x14ac:dyDescent="0.25">
      <c r="A2" s="8"/>
      <c r="B2" s="1" t="s">
        <v>8</v>
      </c>
      <c r="C2" s="11" t="s">
        <v>17</v>
      </c>
      <c r="D2" s="11" t="s">
        <v>18</v>
      </c>
      <c r="E2" s="11" t="s">
        <v>9</v>
      </c>
      <c r="F2" s="12">
        <v>46087</v>
      </c>
      <c r="G2" s="12">
        <v>46122</v>
      </c>
      <c r="H2" s="11" t="s">
        <v>10</v>
      </c>
      <c r="I2" s="13">
        <v>25249.73</v>
      </c>
    </row>
    <row r="3" spans="1:13" outlineLevel="2" x14ac:dyDescent="0.25">
      <c r="A3" s="8"/>
      <c r="B3" s="1" t="s">
        <v>8</v>
      </c>
      <c r="C3" s="14" t="s">
        <v>19</v>
      </c>
      <c r="D3" s="14" t="s">
        <v>20</v>
      </c>
      <c r="E3" s="14" t="s">
        <v>14</v>
      </c>
      <c r="F3" s="15">
        <v>46090</v>
      </c>
      <c r="G3" s="15">
        <v>46122</v>
      </c>
      <c r="H3" s="14" t="s">
        <v>10</v>
      </c>
      <c r="I3" s="16">
        <v>564.01</v>
      </c>
    </row>
    <row r="4" spans="1:13" outlineLevel="2" x14ac:dyDescent="0.25">
      <c r="A4" s="8"/>
      <c r="B4" s="1" t="s">
        <v>8</v>
      </c>
      <c r="C4" s="11" t="s">
        <v>21</v>
      </c>
      <c r="D4" s="11" t="s">
        <v>22</v>
      </c>
      <c r="E4" s="11" t="s">
        <v>12</v>
      </c>
      <c r="F4" s="12">
        <v>46093</v>
      </c>
      <c r="G4" s="12">
        <v>46122</v>
      </c>
      <c r="H4" s="11" t="s">
        <v>10</v>
      </c>
      <c r="I4" s="13">
        <v>3302.8</v>
      </c>
    </row>
    <row r="5" spans="1:13" outlineLevel="2" x14ac:dyDescent="0.25">
      <c r="A5" s="8"/>
      <c r="B5" s="1" t="s">
        <v>8</v>
      </c>
      <c r="C5" s="14" t="s">
        <v>23</v>
      </c>
      <c r="D5" s="14" t="s">
        <v>24</v>
      </c>
      <c r="E5" s="14" t="s">
        <v>13</v>
      </c>
      <c r="F5" s="15">
        <v>46094</v>
      </c>
      <c r="G5" s="15">
        <v>46122</v>
      </c>
      <c r="H5" s="14" t="s">
        <v>10</v>
      </c>
      <c r="I5" s="16">
        <v>24809.75</v>
      </c>
    </row>
    <row r="6" spans="1:13" outlineLevel="2" x14ac:dyDescent="0.25">
      <c r="A6" s="8"/>
      <c r="B6" s="1" t="s">
        <v>8</v>
      </c>
      <c r="C6" s="14" t="s">
        <v>25</v>
      </c>
      <c r="D6" s="14" t="s">
        <v>26</v>
      </c>
      <c r="E6" s="14" t="s">
        <v>13</v>
      </c>
      <c r="F6" s="15">
        <v>46111</v>
      </c>
      <c r="G6" s="15">
        <v>46111</v>
      </c>
      <c r="H6" s="14" t="s">
        <v>10</v>
      </c>
      <c r="I6" s="16">
        <v>-167.17</v>
      </c>
    </row>
    <row r="7" spans="1:13" outlineLevel="2" x14ac:dyDescent="0.25">
      <c r="A7" s="8"/>
      <c r="B7" s="1" t="s">
        <v>8</v>
      </c>
      <c r="C7" s="14" t="s">
        <v>27</v>
      </c>
      <c r="D7" s="14" t="s">
        <v>28</v>
      </c>
      <c r="E7" s="14" t="s">
        <v>13</v>
      </c>
      <c r="F7" s="15">
        <v>46111</v>
      </c>
      <c r="G7" s="15">
        <v>46111</v>
      </c>
      <c r="H7" s="14" t="s">
        <v>10</v>
      </c>
      <c r="I7" s="16">
        <v>-93.63</v>
      </c>
    </row>
    <row r="8" spans="1:13" ht="12.5" customHeight="1" outlineLevel="2" x14ac:dyDescent="0.25">
      <c r="A8" s="8"/>
      <c r="B8" s="1" t="s">
        <v>8</v>
      </c>
      <c r="C8" s="11" t="s">
        <v>29</v>
      </c>
      <c r="D8" s="11" t="s">
        <v>30</v>
      </c>
      <c r="E8" s="11" t="s">
        <v>13</v>
      </c>
      <c r="F8" s="12">
        <v>46111</v>
      </c>
      <c r="G8" s="12">
        <v>46111</v>
      </c>
      <c r="H8" s="11" t="s">
        <v>10</v>
      </c>
      <c r="I8" s="13">
        <v>-93.63</v>
      </c>
      <c r="L8" s="9" t="s">
        <v>16</v>
      </c>
      <c r="M8" s="9"/>
    </row>
    <row r="9" spans="1:13" outlineLevel="2" x14ac:dyDescent="0.25">
      <c r="A9" s="8"/>
      <c r="B9" s="1" t="s">
        <v>8</v>
      </c>
      <c r="C9" s="14" t="s">
        <v>31</v>
      </c>
      <c r="D9" s="14" t="s">
        <v>32</v>
      </c>
      <c r="E9" s="14" t="s">
        <v>14</v>
      </c>
      <c r="F9" s="15">
        <v>46111</v>
      </c>
      <c r="G9" s="15">
        <v>46111</v>
      </c>
      <c r="H9" s="14" t="s">
        <v>10</v>
      </c>
      <c r="I9" s="16">
        <v>-183.77</v>
      </c>
      <c r="L9" s="9"/>
      <c r="M9" s="9"/>
    </row>
    <row r="10" spans="1:13" outlineLevel="2" x14ac:dyDescent="0.25">
      <c r="A10" s="8"/>
      <c r="B10" s="1"/>
      <c r="C10" s="11"/>
      <c r="D10" s="11" t="s">
        <v>33</v>
      </c>
      <c r="E10" s="11"/>
      <c r="F10" s="12">
        <v>46106</v>
      </c>
      <c r="G10" s="12">
        <v>46106</v>
      </c>
      <c r="H10" s="11" t="s">
        <v>34</v>
      </c>
      <c r="I10" s="13">
        <v>-0.28000000000000003</v>
      </c>
      <c r="L10" s="9"/>
      <c r="M10" s="9"/>
    </row>
    <row r="11" spans="1:13" outlineLevel="2" x14ac:dyDescent="0.25">
      <c r="A11" s="8"/>
      <c r="B11" s="1"/>
      <c r="C11" s="14" t="s">
        <v>35</v>
      </c>
      <c r="D11" s="14" t="s">
        <v>36</v>
      </c>
      <c r="E11" s="14" t="s">
        <v>14</v>
      </c>
      <c r="F11" s="15">
        <v>46100</v>
      </c>
      <c r="G11" s="15">
        <v>46100</v>
      </c>
      <c r="H11" s="14" t="s">
        <v>10</v>
      </c>
      <c r="I11" s="16">
        <v>-13387.5</v>
      </c>
      <c r="L11" s="9"/>
      <c r="M11" s="9"/>
    </row>
    <row r="12" spans="1:13" outlineLevel="2" x14ac:dyDescent="0.25">
      <c r="A12" s="8"/>
      <c r="B12" s="3"/>
      <c r="C12" s="3"/>
      <c r="D12" s="3"/>
      <c r="E12" s="3"/>
      <c r="F12" s="4"/>
      <c r="G12" s="4"/>
      <c r="H12" s="3"/>
      <c r="I12" s="5">
        <f>SUM(I2:I11)</f>
        <v>40000.310000000005</v>
      </c>
      <c r="L12" s="9"/>
      <c r="M12" s="9"/>
    </row>
    <row r="13" spans="1:13" outlineLevel="2" x14ac:dyDescent="0.25">
      <c r="I13" s="6"/>
      <c r="L13" s="10">
        <f>SUM(I12,I20,I32)</f>
        <v>33690.840000000004</v>
      </c>
      <c r="M13" s="10"/>
    </row>
    <row r="14" spans="1:13" outlineLevel="2" x14ac:dyDescent="0.25">
      <c r="A14" s="8">
        <v>2</v>
      </c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7" t="s">
        <v>7</v>
      </c>
      <c r="L14" s="10"/>
      <c r="M14" s="10"/>
    </row>
    <row r="15" spans="1:13" outlineLevel="2" x14ac:dyDescent="0.25">
      <c r="A15" s="8"/>
      <c r="B15" s="1" t="s">
        <v>8</v>
      </c>
      <c r="C15" s="11" t="s">
        <v>37</v>
      </c>
      <c r="D15" s="11" t="s">
        <v>38</v>
      </c>
      <c r="E15" s="11" t="s">
        <v>39</v>
      </c>
      <c r="F15" s="12">
        <v>46091</v>
      </c>
      <c r="G15" s="12">
        <v>46122</v>
      </c>
      <c r="H15" s="11" t="s">
        <v>10</v>
      </c>
      <c r="I15" s="13">
        <v>3680.16</v>
      </c>
      <c r="L15" s="10"/>
      <c r="M15" s="10"/>
    </row>
    <row r="16" spans="1:13" outlineLevel="2" x14ac:dyDescent="0.25">
      <c r="A16" s="8"/>
      <c r="B16" s="1" t="s">
        <v>8</v>
      </c>
      <c r="C16" s="14" t="s">
        <v>40</v>
      </c>
      <c r="D16" s="14" t="s">
        <v>41</v>
      </c>
      <c r="E16" s="14" t="s">
        <v>11</v>
      </c>
      <c r="F16" s="15">
        <v>46090</v>
      </c>
      <c r="G16" s="15">
        <v>46122</v>
      </c>
      <c r="H16" s="14" t="s">
        <v>10</v>
      </c>
      <c r="I16" s="16">
        <v>40984.589999999997</v>
      </c>
      <c r="L16" s="10"/>
      <c r="M16" s="10"/>
    </row>
    <row r="17" spans="1:13" outlineLevel="2" x14ac:dyDescent="0.25">
      <c r="A17" s="8"/>
      <c r="B17" s="1" t="s">
        <v>8</v>
      </c>
      <c r="C17" s="11" t="s">
        <v>42</v>
      </c>
      <c r="D17" s="11" t="s">
        <v>43</v>
      </c>
      <c r="E17" s="11" t="s">
        <v>12</v>
      </c>
      <c r="F17" s="12">
        <v>46093</v>
      </c>
      <c r="G17" s="12">
        <v>46122</v>
      </c>
      <c r="H17" s="11" t="s">
        <v>10</v>
      </c>
      <c r="I17" s="13">
        <v>26.43</v>
      </c>
      <c r="L17" s="10"/>
      <c r="M17" s="10"/>
    </row>
    <row r="18" spans="1:13" outlineLevel="2" x14ac:dyDescent="0.25">
      <c r="A18" s="8"/>
      <c r="B18" s="1"/>
      <c r="C18" s="14" t="s">
        <v>44</v>
      </c>
      <c r="D18" s="14" t="s">
        <v>45</v>
      </c>
      <c r="E18" s="14" t="s">
        <v>9</v>
      </c>
      <c r="F18" s="15">
        <v>46093</v>
      </c>
      <c r="G18" s="15">
        <v>46122</v>
      </c>
      <c r="H18" s="14" t="s">
        <v>10</v>
      </c>
      <c r="I18" s="16">
        <v>219.76</v>
      </c>
      <c r="L18" s="10"/>
      <c r="M18" s="10"/>
    </row>
    <row r="19" spans="1:13" outlineLevel="2" x14ac:dyDescent="0.25">
      <c r="A19" s="8"/>
      <c r="B19" s="1"/>
      <c r="C19" s="14"/>
      <c r="D19" s="14" t="s">
        <v>46</v>
      </c>
      <c r="E19" s="14"/>
      <c r="F19" s="15">
        <v>46111</v>
      </c>
      <c r="G19" s="15">
        <v>46106</v>
      </c>
      <c r="H19" s="14" t="s">
        <v>34</v>
      </c>
      <c r="I19" s="16">
        <v>-85000</v>
      </c>
      <c r="L19" s="10"/>
      <c r="M19" s="10"/>
    </row>
    <row r="20" spans="1:13" outlineLevel="2" x14ac:dyDescent="0.25">
      <c r="A20" s="8"/>
      <c r="B20" s="3"/>
      <c r="C20" s="3"/>
      <c r="D20" s="3"/>
      <c r="E20" s="3"/>
      <c r="F20" s="4"/>
      <c r="G20" s="4"/>
      <c r="H20" s="3"/>
      <c r="I20" s="5">
        <f>SUM(I15:I19)</f>
        <v>-40089.06</v>
      </c>
      <c r="L20" s="10"/>
      <c r="M20" s="10"/>
    </row>
    <row r="21" spans="1:13" outlineLevel="2" x14ac:dyDescent="0.25">
      <c r="I21" s="6"/>
    </row>
    <row r="22" spans="1:13" outlineLevel="2" x14ac:dyDescent="0.25">
      <c r="A22" s="8">
        <v>3</v>
      </c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  <c r="I22" s="7" t="s">
        <v>7</v>
      </c>
    </row>
    <row r="23" spans="1:13" outlineLevel="2" x14ac:dyDescent="0.25">
      <c r="A23" s="8"/>
      <c r="B23" s="1" t="s">
        <v>8</v>
      </c>
      <c r="C23" s="11" t="s">
        <v>47</v>
      </c>
      <c r="D23" s="11" t="s">
        <v>48</v>
      </c>
      <c r="E23" s="11" t="s">
        <v>15</v>
      </c>
      <c r="F23" s="12">
        <v>46090</v>
      </c>
      <c r="G23" s="12">
        <v>46122</v>
      </c>
      <c r="H23" s="11" t="s">
        <v>10</v>
      </c>
      <c r="I23" s="13">
        <v>32094.639999999999</v>
      </c>
    </row>
    <row r="24" spans="1:13" x14ac:dyDescent="0.25">
      <c r="A24" s="8"/>
      <c r="B24" s="1" t="s">
        <v>8</v>
      </c>
      <c r="C24" s="14" t="s">
        <v>49</v>
      </c>
      <c r="D24" s="14" t="s">
        <v>50</v>
      </c>
      <c r="E24" s="14" t="s">
        <v>39</v>
      </c>
      <c r="F24" s="15">
        <v>46091</v>
      </c>
      <c r="G24" s="15">
        <v>46122</v>
      </c>
      <c r="H24" s="14" t="s">
        <v>10</v>
      </c>
      <c r="I24" s="16">
        <v>38158.44</v>
      </c>
    </row>
    <row r="25" spans="1:13" x14ac:dyDescent="0.25">
      <c r="A25" s="8"/>
      <c r="B25" s="1" t="s">
        <v>8</v>
      </c>
      <c r="C25" s="11" t="s">
        <v>51</v>
      </c>
      <c r="D25" s="11" t="s">
        <v>52</v>
      </c>
      <c r="E25" s="11" t="s">
        <v>11</v>
      </c>
      <c r="F25" s="12">
        <v>46118</v>
      </c>
      <c r="G25" s="12">
        <v>46118</v>
      </c>
      <c r="H25" s="11" t="s">
        <v>10</v>
      </c>
      <c r="I25" s="13">
        <v>-166.86</v>
      </c>
    </row>
    <row r="26" spans="1:13" x14ac:dyDescent="0.25">
      <c r="A26" s="8"/>
      <c r="B26" s="1" t="s">
        <v>8</v>
      </c>
      <c r="C26" s="14" t="s">
        <v>53</v>
      </c>
      <c r="D26" s="14" t="s">
        <v>54</v>
      </c>
      <c r="E26" s="14" t="s">
        <v>9</v>
      </c>
      <c r="F26" s="15">
        <v>46118</v>
      </c>
      <c r="G26" s="15">
        <v>46118</v>
      </c>
      <c r="H26" s="14" t="s">
        <v>10</v>
      </c>
      <c r="I26" s="16">
        <v>-393.14</v>
      </c>
    </row>
    <row r="27" spans="1:13" x14ac:dyDescent="0.25">
      <c r="A27" s="8"/>
      <c r="B27" s="1" t="s">
        <v>8</v>
      </c>
      <c r="C27" s="11" t="s">
        <v>55</v>
      </c>
      <c r="D27" s="11" t="s">
        <v>56</v>
      </c>
      <c r="E27" s="11" t="s">
        <v>9</v>
      </c>
      <c r="F27" s="12">
        <v>46118</v>
      </c>
      <c r="G27" s="12">
        <v>46118</v>
      </c>
      <c r="H27" s="11" t="s">
        <v>10</v>
      </c>
      <c r="I27" s="13">
        <v>-183.42</v>
      </c>
    </row>
    <row r="28" spans="1:13" x14ac:dyDescent="0.25">
      <c r="A28" s="8"/>
      <c r="B28" s="1" t="s">
        <v>8</v>
      </c>
      <c r="C28" s="11" t="s">
        <v>57</v>
      </c>
      <c r="D28" s="11" t="s">
        <v>58</v>
      </c>
      <c r="E28" s="11" t="s">
        <v>39</v>
      </c>
      <c r="F28" s="12">
        <v>46111</v>
      </c>
      <c r="G28" s="12">
        <v>46111</v>
      </c>
      <c r="H28" s="11" t="s">
        <v>10</v>
      </c>
      <c r="I28" s="13">
        <v>-367.56</v>
      </c>
    </row>
    <row r="29" spans="1:13" x14ac:dyDescent="0.25">
      <c r="A29" s="8"/>
      <c r="B29" s="1" t="s">
        <v>8</v>
      </c>
      <c r="C29" s="11" t="s">
        <v>59</v>
      </c>
      <c r="D29" s="11" t="s">
        <v>60</v>
      </c>
      <c r="E29" s="11"/>
      <c r="F29" s="12">
        <v>46111</v>
      </c>
      <c r="G29" s="12">
        <v>46111</v>
      </c>
      <c r="H29" s="11" t="s">
        <v>61</v>
      </c>
      <c r="I29" s="13">
        <v>-35213.370000000003</v>
      </c>
    </row>
    <row r="30" spans="1:13" x14ac:dyDescent="0.25">
      <c r="A30" s="8"/>
      <c r="B30" s="1"/>
      <c r="C30" s="14" t="s">
        <v>62</v>
      </c>
      <c r="D30" s="14" t="s">
        <v>63</v>
      </c>
      <c r="E30" s="14" t="s">
        <v>12</v>
      </c>
      <c r="F30" s="15">
        <v>46106</v>
      </c>
      <c r="G30" s="15">
        <v>46106</v>
      </c>
      <c r="H30" s="14" t="s">
        <v>10</v>
      </c>
      <c r="I30" s="16">
        <v>-46.23</v>
      </c>
    </row>
    <row r="31" spans="1:13" x14ac:dyDescent="0.25">
      <c r="A31" s="8"/>
      <c r="B31" s="1"/>
      <c r="C31" s="11" t="s">
        <v>64</v>
      </c>
      <c r="D31" s="11" t="s">
        <v>65</v>
      </c>
      <c r="E31" s="11" t="s">
        <v>9</v>
      </c>
      <c r="F31" s="12">
        <v>46104</v>
      </c>
      <c r="G31" s="12">
        <v>46104</v>
      </c>
      <c r="H31" s="11" t="s">
        <v>10</v>
      </c>
      <c r="I31" s="13">
        <v>-102.91</v>
      </c>
    </row>
    <row r="32" spans="1:13" x14ac:dyDescent="0.25">
      <c r="A32" s="8"/>
      <c r="B32" s="3"/>
      <c r="C32" s="3"/>
      <c r="D32" s="3"/>
      <c r="E32" s="3"/>
      <c r="F32" s="4"/>
      <c r="G32" s="4"/>
      <c r="H32" s="3"/>
      <c r="I32" s="5">
        <f>SUM(I23:I31)</f>
        <v>33779.589999999997</v>
      </c>
    </row>
  </sheetData>
  <mergeCells count="5">
    <mergeCell ref="A22:A32"/>
    <mergeCell ref="A14:A20"/>
    <mergeCell ref="A1:A12"/>
    <mergeCell ref="L8:M12"/>
    <mergeCell ref="L13:M20"/>
  </mergeCells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8770-1E2A-450E-A158-CE41BD376B46}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842F-CFDF-45E9-9ABF-D56CBAAA6FA7}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Lustig, Henk</dc:creator>
  <cp:lastModifiedBy>Lustig, Henk</cp:lastModifiedBy>
  <dcterms:created xsi:type="dcterms:W3CDTF">2026-03-27T14:55:18Z</dcterms:created>
  <dcterms:modified xsi:type="dcterms:W3CDTF">2026-04-08T15:16:14Z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2026-03-27T15:02:36Z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9d8b5cf8-f0a6-4c4c-83e8-9c1f71b3f27b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