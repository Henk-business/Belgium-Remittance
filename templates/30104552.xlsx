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507427\Desktop\"/>
    </mc:Choice>
  </mc:AlternateContent>
  <xr:revisionPtr revIDLastSave="0" documentId="8_{C94B2950-C3FC-4FDB-BF2C-E39A4E76E3FD}" xr6:coauthVersionLast="47" xr6:coauthVersionMax="47" xr10:uidLastSave="{00000000-0000-0000-0000-000000000000}"/>
  <bookViews>
    <workbookView xWindow="-110" yWindow="-110" windowWidth="19420" windowHeight="11500" xr2:uid="{7AD030C6-2C21-4EBF-A42A-F0C88DB9228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I12" i="1"/>
  <c r="I27" i="1"/>
</calcChain>
</file>

<file path=xl/sharedStrings.xml><?xml version="1.0" encoding="utf-8"?>
<sst xmlns="http://schemas.openxmlformats.org/spreadsheetml/2006/main" count="128" uniqueCount="56">
  <si>
    <t>Account</t>
  </si>
  <si>
    <t>Assignment</t>
  </si>
  <si>
    <t>Document Number</t>
  </si>
  <si>
    <t>Reference Key 3</t>
  </si>
  <si>
    <t>Document Date</t>
  </si>
  <si>
    <t>Net due date</t>
  </si>
  <si>
    <t>Document Type</t>
  </si>
  <si>
    <t>Amount in local currency</t>
  </si>
  <si>
    <t>30104552</t>
  </si>
  <si>
    <t>29076513</t>
  </si>
  <si>
    <t>RV</t>
  </si>
  <si>
    <t>29058469</t>
  </si>
  <si>
    <t>29060006</t>
  </si>
  <si>
    <t>NEGOBOISSONS</t>
  </si>
  <si>
    <t>RUE DES NERVIENS 3</t>
  </si>
  <si>
    <t>6540  LOBBES</t>
  </si>
  <si>
    <t>FOUREZ ETS.</t>
  </si>
  <si>
    <r>
      <t>DISTRI-BOISSONS</t>
    </r>
    <r>
      <rPr>
        <sz val="11"/>
        <color rgb="FF1F497D"/>
        <rFont val="Aptos Narrow"/>
        <family val="2"/>
        <scheme val="minor"/>
      </rPr>
      <t xml:space="preserve">  </t>
    </r>
  </si>
  <si>
    <t>Grand total</t>
  </si>
  <si>
    <t>9954917204</t>
  </si>
  <si>
    <t>29202</t>
  </si>
  <si>
    <t>9954923957</t>
  </si>
  <si>
    <t>34759</t>
  </si>
  <si>
    <t>9954936477</t>
  </si>
  <si>
    <t>45027</t>
  </si>
  <si>
    <t>9954936550</t>
  </si>
  <si>
    <t>45101</t>
  </si>
  <si>
    <t>9954936585</t>
  </si>
  <si>
    <t>45136</t>
  </si>
  <si>
    <t>9954922031</t>
  </si>
  <si>
    <t>33064</t>
  </si>
  <si>
    <t>9954936427</t>
  </si>
  <si>
    <t>44977</t>
  </si>
  <si>
    <t>9954936521</t>
  </si>
  <si>
    <t>45071</t>
  </si>
  <si>
    <t>9954936574</t>
  </si>
  <si>
    <t>45125</t>
  </si>
  <si>
    <t>9954936618</t>
  </si>
  <si>
    <t>45169</t>
  </si>
  <si>
    <t>9954936619</t>
  </si>
  <si>
    <t>45170</t>
  </si>
  <si>
    <t>9954936631</t>
  </si>
  <si>
    <t>45186</t>
  </si>
  <si>
    <t>9954936632</t>
  </si>
  <si>
    <t>45187</t>
  </si>
  <si>
    <t>9954936653</t>
  </si>
  <si>
    <t>45214</t>
  </si>
  <si>
    <t>9954936939</t>
  </si>
  <si>
    <t>45458</t>
  </si>
  <si>
    <t>9954931285</t>
  </si>
  <si>
    <t>40718</t>
  </si>
  <si>
    <t>9954925894</t>
  </si>
  <si>
    <t>36409</t>
  </si>
  <si>
    <t>9954936498</t>
  </si>
  <si>
    <t>45048</t>
  </si>
  <si>
    <t>29061940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</si>
</sst>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C]_-;\-* #,##0.00\ [$€-40C]_-;_-* &quot;-&quot;??\ [$€-40C]_-;_-@_-"/>
  </numFmts>
  <fonts count="24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4"/>
      <name val="Aptos Narrow"/>
      <family val="2"/>
      <scheme val="minor"/>
    </font>
    <font>
      <b/>
      <sz val="9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color rgb="FF1F497D"/>
      <name val="Aptos Narrow"/>
      <family val="2"/>
      <scheme val="minor"/>
    </font>
    <font>
      <b/>
      <sz val="15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rgb="FFFFEE09"/>
        <bgColor indexed="64"/>
      </patternFill>
    </fill>
    <fill>
      <patternFill patternType="solid">
        <fgColor rgb="FFFFEE00"/>
        <bgColor indexed="64"/>
      </patternFill>
    </fill>
    <fill>
      <patternFill patternType="solid">
        <fgColor rgb="FFFDB9FD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8" fillId="0" borderId="0"/>
    <xf numFmtId="0" fontId="18" fillId="0" borderId="0"/>
  </cellStyleXfs>
  <cellXfs count="25">
    <xf numFmtId="0" fontId="18" fillId="0" borderId="0" xfId="0" applyFont="1"/>
    <xf numFmtId="0" fontId="18" fillId="33" borderId="10" xfId="0" applyFont="1" applyFill="1" applyBorder="1"/>
    <xf numFmtId="0" fontId="18" fillId="35" borderId="10" xfId="0" applyFont="1" applyFill="1" applyBorder="1"/>
    <xf numFmtId="14" fontId="18" fillId="35" borderId="10" xfId="0" applyNumberFormat="1" applyFont="1" applyFill="1" applyBorder="1" applyAlignment="1">
      <alignment horizontal="right"/>
    </xf>
    <xf numFmtId="0" fontId="21" fillId="36" borderId="0" xfId="43" applyFont="1" applyFill="1" applyAlignment="1">
      <alignment horizontal="center" wrapText="1"/>
    </xf>
    <xf numFmtId="0" fontId="18" fillId="0" borderId="0" xfId="44"/>
    <xf numFmtId="164" fontId="23" fillId="34" borderId="10" xfId="0" applyNumberFormat="1" applyFont="1" applyFill="1" applyBorder="1"/>
    <xf numFmtId="164" fontId="18" fillId="35" borderId="10" xfId="0" applyNumberFormat="1" applyFont="1" applyFill="1" applyBorder="1" applyAlignment="1">
      <alignment horizontal="right"/>
    </xf>
    <xf numFmtId="164" fontId="18" fillId="0" borderId="0" xfId="0" applyNumberFormat="1" applyFont="1"/>
    <xf numFmtId="164" fontId="18" fillId="33" borderId="10" xfId="0" applyNumberFormat="1" applyFont="1" applyFill="1" applyBorder="1"/>
    <xf numFmtId="0" fontId="19" fillId="36" borderId="11" xfId="42" applyFont="1" applyFill="1" applyBorder="1" applyAlignment="1">
      <alignment horizontal="center"/>
    </xf>
    <xf numFmtId="0" fontId="19" fillId="36" borderId="12" xfId="42" applyFont="1" applyFill="1" applyBorder="1" applyAlignment="1">
      <alignment horizontal="center"/>
    </xf>
    <xf numFmtId="0" fontId="19" fillId="36" borderId="13" xfId="42" applyFont="1" applyFill="1" applyBorder="1" applyAlignment="1">
      <alignment horizontal="center"/>
    </xf>
    <xf numFmtId="0" fontId="20" fillId="0" borderId="14" xfId="42" applyFont="1" applyBorder="1" applyAlignment="1">
      <alignment horizontal="center"/>
    </xf>
    <xf numFmtId="0" fontId="20" fillId="0" borderId="0" xfId="42" applyFont="1" applyAlignment="1">
      <alignment horizontal="center"/>
    </xf>
    <xf numFmtId="0" fontId="20" fillId="0" borderId="15" xfId="42" applyFont="1" applyBorder="1" applyAlignment="1">
      <alignment horizontal="center"/>
    </xf>
    <xf numFmtId="0" fontId="20" fillId="0" borderId="16" xfId="42" applyFont="1" applyBorder="1" applyAlignment="1">
      <alignment horizontal="center"/>
    </xf>
    <xf numFmtId="0" fontId="20" fillId="0" borderId="17" xfId="42" applyFont="1" applyBorder="1" applyAlignment="1">
      <alignment horizontal="center"/>
    </xf>
    <xf numFmtId="0" fontId="20" fillId="0" borderId="18" xfId="42" applyFont="1" applyBorder="1" applyAlignment="1">
      <alignment horizontal="center"/>
    </xf>
    <xf numFmtId="14" fontId="23" fillId="34" borderId="19" xfId="0" applyNumberFormat="1" applyFont="1" applyFill="1" applyBorder="1" applyAlignment="1">
      <alignment horizontal="center"/>
    </xf>
    <xf numFmtId="14" fontId="23" fillId="34" borderId="20" xfId="0" applyNumberFormat="1" applyFont="1" applyFill="1" applyBorder="1" applyAlignment="1">
      <alignment horizontal="center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D26C730A-B319-4C7D-BA16-BC676E195F16}"/>
    <cellStyle name="Normal 4" xfId="44" xr:uid="{CF6821F0-FFE8-4E89-94F6-062E779BE49C}"/>
    <cellStyle name="Normal_Sheet1" xfId="42" xr:uid="{4B220374-E9B6-4667-B3A7-AE81E29042A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561C-36A5-4B5A-9925-12BEC63CECD3}">
  <dimension ref="A1:M36"/>
  <sheetViews>
    <sheetView tabSelected="1" workbookViewId="0">
      <selection activeCell="B8" sqref="B8"/>
    </sheetView>
  </sheetViews>
  <sheetFormatPr defaultColWidth="11.453125" defaultRowHeight="12.5" outlineLevelRow="2" x14ac:dyDescent="0.25"/>
  <cols>
    <col min="1" max="1" width="22" customWidth="1"/>
    <col min="2" max="2" width="11" bestFit="1" customWidth="1"/>
    <col min="3" max="3" width="16.54296875" bestFit="1" customWidth="1"/>
    <col min="4" max="4" width="14.81640625" bestFit="1" customWidth="1"/>
    <col min="5" max="5" width="14" bestFit="1" customWidth="1"/>
    <col min="6" max="6" width="11.54296875" bestFit="1" customWidth="1"/>
    <col min="7" max="7" width="14.1796875" bestFit="1" customWidth="1"/>
    <col min="8" max="9" width="22" bestFit="1" customWidth="1"/>
    <col min="13" max="13" width="20.26953125" bestFit="1" customWidth="1"/>
  </cols>
  <sheetData>
    <row r="1" spans="1:13" ht="19" thickBot="1" x14ac:dyDescent="0.5">
      <c r="C1" s="10">
        <v>30104552</v>
      </c>
      <c r="D1" s="11"/>
      <c r="E1" s="11"/>
      <c r="F1" s="12"/>
    </row>
    <row r="2" spans="1:13" ht="19" outlineLevel="2" thickBot="1" x14ac:dyDescent="0.5">
      <c r="C2" s="10" t="s">
        <v>13</v>
      </c>
      <c r="D2" s="11"/>
      <c r="E2" s="11"/>
      <c r="F2" s="12"/>
    </row>
    <row r="3" spans="1:13" ht="13" outlineLevel="2" x14ac:dyDescent="0.3">
      <c r="C3" s="13" t="s">
        <v>14</v>
      </c>
      <c r="D3" s="14"/>
      <c r="E3" s="14"/>
      <c r="F3" s="15"/>
    </row>
    <row r="4" spans="1:13" ht="13.5" outlineLevel="2" thickBot="1" x14ac:dyDescent="0.35">
      <c r="C4" s="16" t="s">
        <v>15</v>
      </c>
      <c r="D4" s="17"/>
      <c r="E4" s="17"/>
      <c r="F4" s="18"/>
    </row>
    <row r="5" spans="1:13" outlineLevel="2" x14ac:dyDescent="0.25"/>
    <row r="6" spans="1:13" ht="16" outlineLevel="2" x14ac:dyDescent="0.4">
      <c r="A6" s="4" t="s">
        <v>16</v>
      </c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</row>
    <row r="7" spans="1:13" ht="16" outlineLevel="2" x14ac:dyDescent="0.4">
      <c r="A7" s="4">
        <v>29060006</v>
      </c>
      <c r="B7" s="21" t="s">
        <v>8</v>
      </c>
      <c r="C7" s="21" t="s">
        <v>19</v>
      </c>
      <c r="D7" s="21" t="s">
        <v>20</v>
      </c>
      <c r="E7" s="21" t="s">
        <v>12</v>
      </c>
      <c r="F7" s="22">
        <v>46071</v>
      </c>
      <c r="G7" s="22">
        <v>46112</v>
      </c>
      <c r="H7" s="21" t="s">
        <v>10</v>
      </c>
      <c r="I7" s="23">
        <v>56285.07</v>
      </c>
    </row>
    <row r="8" spans="1:13" ht="19" outlineLevel="2" x14ac:dyDescent="0.4">
      <c r="A8" s="5"/>
      <c r="B8" s="21" t="s">
        <v>8</v>
      </c>
      <c r="C8" s="21" t="s">
        <v>21</v>
      </c>
      <c r="D8" s="21" t="s">
        <v>22</v>
      </c>
      <c r="E8" s="21" t="s">
        <v>12</v>
      </c>
      <c r="F8" s="22">
        <v>46080</v>
      </c>
      <c r="G8" s="22">
        <v>46112</v>
      </c>
      <c r="H8" s="21" t="s">
        <v>10</v>
      </c>
      <c r="I8" s="23">
        <v>618.04</v>
      </c>
      <c r="K8" s="19" t="s">
        <v>18</v>
      </c>
      <c r="L8" s="20"/>
      <c r="M8" s="6">
        <f>SUM(I12,I27,I32,I36)</f>
        <v>112748.7</v>
      </c>
    </row>
    <row r="9" spans="1:13" outlineLevel="2" x14ac:dyDescent="0.25">
      <c r="A9" s="5"/>
      <c r="B9" s="21" t="s">
        <v>8</v>
      </c>
      <c r="C9" s="21" t="s">
        <v>23</v>
      </c>
      <c r="D9" s="21" t="s">
        <v>24</v>
      </c>
      <c r="E9" s="21" t="s">
        <v>12</v>
      </c>
      <c r="F9" s="22">
        <v>46097</v>
      </c>
      <c r="G9" s="22">
        <v>46097</v>
      </c>
      <c r="H9" s="21" t="s">
        <v>10</v>
      </c>
      <c r="I9" s="23">
        <v>-553.91</v>
      </c>
    </row>
    <row r="10" spans="1:13" outlineLevel="2" x14ac:dyDescent="0.25">
      <c r="A10" s="5"/>
      <c r="B10" s="21" t="s">
        <v>8</v>
      </c>
      <c r="C10" s="21" t="s">
        <v>25</v>
      </c>
      <c r="D10" s="21" t="s">
        <v>26</v>
      </c>
      <c r="E10" s="21" t="s">
        <v>12</v>
      </c>
      <c r="F10" s="22">
        <v>46097</v>
      </c>
      <c r="G10" s="22">
        <v>46097</v>
      </c>
      <c r="H10" s="21" t="s">
        <v>10</v>
      </c>
      <c r="I10" s="23">
        <v>-503.87</v>
      </c>
    </row>
    <row r="11" spans="1:13" outlineLevel="2" x14ac:dyDescent="0.25">
      <c r="A11" s="5"/>
      <c r="B11" s="21" t="s">
        <v>8</v>
      </c>
      <c r="C11" s="21" t="s">
        <v>27</v>
      </c>
      <c r="D11" s="21" t="s">
        <v>28</v>
      </c>
      <c r="E11" s="21" t="s">
        <v>12</v>
      </c>
      <c r="F11" s="22">
        <v>46097</v>
      </c>
      <c r="G11" s="22">
        <v>46097</v>
      </c>
      <c r="H11" s="21" t="s">
        <v>10</v>
      </c>
      <c r="I11" s="23">
        <v>-304.57</v>
      </c>
    </row>
    <row r="12" spans="1:13" outlineLevel="2" x14ac:dyDescent="0.25">
      <c r="B12" s="2"/>
      <c r="C12" s="2"/>
      <c r="D12" s="2"/>
      <c r="E12" s="2"/>
      <c r="F12" s="3"/>
      <c r="G12" s="3"/>
      <c r="H12" s="2"/>
      <c r="I12" s="7">
        <f>SUM(I7:I11)</f>
        <v>55540.759999999995</v>
      </c>
    </row>
    <row r="13" spans="1:13" outlineLevel="2" x14ac:dyDescent="0.25">
      <c r="I13" s="8"/>
    </row>
    <row r="14" spans="1:13" outlineLevel="2" x14ac:dyDescent="0.25">
      <c r="I14" s="8"/>
    </row>
    <row r="15" spans="1:13" ht="16" outlineLevel="2" x14ac:dyDescent="0.4">
      <c r="A15" s="4" t="s">
        <v>17</v>
      </c>
      <c r="B15" s="1" t="s">
        <v>0</v>
      </c>
      <c r="C15" s="1" t="s">
        <v>1</v>
      </c>
      <c r="D15" s="1" t="s">
        <v>2</v>
      </c>
      <c r="E15" s="1" t="s">
        <v>3</v>
      </c>
      <c r="F15" s="1" t="s">
        <v>4</v>
      </c>
      <c r="G15" s="1" t="s">
        <v>5</v>
      </c>
      <c r="H15" s="1" t="s">
        <v>6</v>
      </c>
      <c r="I15" s="9" t="s">
        <v>7</v>
      </c>
    </row>
    <row r="16" spans="1:13" ht="16" outlineLevel="2" x14ac:dyDescent="0.4">
      <c r="A16" s="4">
        <v>29076513</v>
      </c>
      <c r="B16" s="21" t="s">
        <v>8</v>
      </c>
      <c r="C16" s="21" t="s">
        <v>29</v>
      </c>
      <c r="D16" s="21" t="s">
        <v>30</v>
      </c>
      <c r="E16" s="21" t="s">
        <v>9</v>
      </c>
      <c r="F16" s="22">
        <v>46078</v>
      </c>
      <c r="G16" s="22">
        <v>46112</v>
      </c>
      <c r="H16" s="21" t="s">
        <v>10</v>
      </c>
      <c r="I16" s="23">
        <v>44976.480000000003</v>
      </c>
    </row>
    <row r="17" spans="1:9" outlineLevel="2" x14ac:dyDescent="0.25">
      <c r="B17" s="21" t="s">
        <v>8</v>
      </c>
      <c r="C17" s="21" t="s">
        <v>31</v>
      </c>
      <c r="D17" s="21" t="s">
        <v>32</v>
      </c>
      <c r="E17" s="21" t="s">
        <v>9</v>
      </c>
      <c r="F17" s="22">
        <v>46097</v>
      </c>
      <c r="G17" s="22">
        <v>46097</v>
      </c>
      <c r="H17" s="21" t="s">
        <v>10</v>
      </c>
      <c r="I17" s="23">
        <v>-176.47</v>
      </c>
    </row>
    <row r="18" spans="1:9" outlineLevel="2" x14ac:dyDescent="0.25">
      <c r="B18" s="21" t="s">
        <v>8</v>
      </c>
      <c r="C18" s="21" t="s">
        <v>33</v>
      </c>
      <c r="D18" s="21" t="s">
        <v>34</v>
      </c>
      <c r="E18" s="21" t="s">
        <v>9</v>
      </c>
      <c r="F18" s="22">
        <v>46097</v>
      </c>
      <c r="G18" s="22">
        <v>46097</v>
      </c>
      <c r="H18" s="21" t="s">
        <v>10</v>
      </c>
      <c r="I18" s="23">
        <v>-103.38</v>
      </c>
    </row>
    <row r="19" spans="1:9" outlineLevel="2" x14ac:dyDescent="0.25">
      <c r="B19" s="21" t="s">
        <v>8</v>
      </c>
      <c r="C19" s="21" t="s">
        <v>35</v>
      </c>
      <c r="D19" s="21" t="s">
        <v>36</v>
      </c>
      <c r="E19" s="21" t="s">
        <v>9</v>
      </c>
      <c r="F19" s="22">
        <v>46097</v>
      </c>
      <c r="G19" s="22">
        <v>46097</v>
      </c>
      <c r="H19" s="21" t="s">
        <v>10</v>
      </c>
      <c r="I19" s="23">
        <v>-369.28</v>
      </c>
    </row>
    <row r="20" spans="1:9" outlineLevel="2" x14ac:dyDescent="0.25">
      <c r="B20" s="21" t="s">
        <v>8</v>
      </c>
      <c r="C20" s="21" t="s">
        <v>37</v>
      </c>
      <c r="D20" s="21" t="s">
        <v>38</v>
      </c>
      <c r="E20" s="21" t="s">
        <v>9</v>
      </c>
      <c r="F20" s="22">
        <v>46097</v>
      </c>
      <c r="G20" s="22">
        <v>46097</v>
      </c>
      <c r="H20" s="21" t="s">
        <v>10</v>
      </c>
      <c r="I20" s="23">
        <v>-201.82</v>
      </c>
    </row>
    <row r="21" spans="1:9" outlineLevel="2" x14ac:dyDescent="0.25">
      <c r="B21" s="21" t="s">
        <v>8</v>
      </c>
      <c r="C21" s="21" t="s">
        <v>39</v>
      </c>
      <c r="D21" s="21" t="s">
        <v>40</v>
      </c>
      <c r="E21" s="21" t="s">
        <v>9</v>
      </c>
      <c r="F21" s="22">
        <v>46097</v>
      </c>
      <c r="G21" s="22">
        <v>46097</v>
      </c>
      <c r="H21" s="21" t="s">
        <v>10</v>
      </c>
      <c r="I21" s="23">
        <v>-104.47</v>
      </c>
    </row>
    <row r="22" spans="1:9" outlineLevel="2" x14ac:dyDescent="0.25">
      <c r="B22" s="21" t="s">
        <v>8</v>
      </c>
      <c r="C22" s="21" t="s">
        <v>41</v>
      </c>
      <c r="D22" s="21" t="s">
        <v>42</v>
      </c>
      <c r="E22" s="21" t="s">
        <v>9</v>
      </c>
      <c r="F22" s="22">
        <v>46097</v>
      </c>
      <c r="G22" s="22">
        <v>46097</v>
      </c>
      <c r="H22" s="21" t="s">
        <v>10</v>
      </c>
      <c r="I22" s="23">
        <v>-1875.09</v>
      </c>
    </row>
    <row r="23" spans="1:9" outlineLevel="2" x14ac:dyDescent="0.25">
      <c r="B23" s="21" t="s">
        <v>8</v>
      </c>
      <c r="C23" s="21" t="s">
        <v>43</v>
      </c>
      <c r="D23" s="21" t="s">
        <v>44</v>
      </c>
      <c r="E23" s="21" t="s">
        <v>9</v>
      </c>
      <c r="F23" s="22">
        <v>46097</v>
      </c>
      <c r="G23" s="22">
        <v>46097</v>
      </c>
      <c r="H23" s="21" t="s">
        <v>10</v>
      </c>
      <c r="I23" s="23">
        <v>-2812.67</v>
      </c>
    </row>
    <row r="24" spans="1:9" outlineLevel="2" x14ac:dyDescent="0.25">
      <c r="B24" s="21" t="s">
        <v>8</v>
      </c>
      <c r="C24" s="21" t="s">
        <v>45</v>
      </c>
      <c r="D24" s="21" t="s">
        <v>46</v>
      </c>
      <c r="E24" s="21" t="s">
        <v>9</v>
      </c>
      <c r="F24" s="22">
        <v>46097</v>
      </c>
      <c r="G24" s="22">
        <v>46097</v>
      </c>
      <c r="H24" s="21" t="s">
        <v>10</v>
      </c>
      <c r="I24" s="23">
        <v>-503.87</v>
      </c>
    </row>
    <row r="25" spans="1:9" outlineLevel="2" x14ac:dyDescent="0.25">
      <c r="B25" s="21" t="s">
        <v>8</v>
      </c>
      <c r="C25" s="21" t="s">
        <v>47</v>
      </c>
      <c r="D25" s="21" t="s">
        <v>48</v>
      </c>
      <c r="E25" s="21" t="s">
        <v>9</v>
      </c>
      <c r="F25" s="22">
        <v>46097</v>
      </c>
      <c r="G25" s="22">
        <v>46097</v>
      </c>
      <c r="H25" s="21" t="s">
        <v>10</v>
      </c>
      <c r="I25" s="23">
        <v>-7650</v>
      </c>
    </row>
    <row r="26" spans="1:9" outlineLevel="2" x14ac:dyDescent="0.25">
      <c r="B26" s="21" t="s">
        <v>8</v>
      </c>
      <c r="C26" s="21" t="s">
        <v>49</v>
      </c>
      <c r="D26" s="21" t="s">
        <v>50</v>
      </c>
      <c r="E26" s="21" t="s">
        <v>9</v>
      </c>
      <c r="F26" s="22">
        <v>46090</v>
      </c>
      <c r="G26" s="22">
        <v>46090</v>
      </c>
      <c r="H26" s="21" t="s">
        <v>10</v>
      </c>
      <c r="I26" s="23">
        <v>-64.94</v>
      </c>
    </row>
    <row r="27" spans="1:9" x14ac:dyDescent="0.25">
      <c r="B27" s="2"/>
      <c r="C27" s="2"/>
      <c r="D27" s="2"/>
      <c r="E27" s="2"/>
      <c r="F27" s="3"/>
      <c r="G27" s="3"/>
      <c r="H27" s="2"/>
      <c r="I27" s="7">
        <f>SUM(I16:I26)</f>
        <v>31114.490000000009</v>
      </c>
    </row>
    <row r="28" spans="1:9" x14ac:dyDescent="0.25">
      <c r="I28" s="8"/>
    </row>
    <row r="29" spans="1:9" x14ac:dyDescent="0.25">
      <c r="I29" s="8"/>
    </row>
    <row r="30" spans="1:9" ht="16" x14ac:dyDescent="0.4">
      <c r="A30" s="4"/>
      <c r="B30" s="1" t="s">
        <v>0</v>
      </c>
      <c r="C30" s="1" t="s">
        <v>1</v>
      </c>
      <c r="D30" s="1" t="s">
        <v>2</v>
      </c>
      <c r="E30" s="1" t="s">
        <v>3</v>
      </c>
      <c r="F30" s="1" t="s">
        <v>4</v>
      </c>
      <c r="G30" s="1" t="s">
        <v>5</v>
      </c>
      <c r="H30" s="1" t="s">
        <v>6</v>
      </c>
      <c r="I30" s="9" t="s">
        <v>7</v>
      </c>
    </row>
    <row r="31" spans="1:9" ht="16" x14ac:dyDescent="0.4">
      <c r="A31" s="4">
        <v>29058469</v>
      </c>
      <c r="B31" s="21" t="s">
        <v>8</v>
      </c>
      <c r="C31" s="21" t="s">
        <v>51</v>
      </c>
      <c r="D31" s="21" t="s">
        <v>52</v>
      </c>
      <c r="E31" s="21" t="s">
        <v>11</v>
      </c>
      <c r="F31" s="22">
        <v>46080</v>
      </c>
      <c r="G31" s="22">
        <v>46112</v>
      </c>
      <c r="H31" s="21" t="s">
        <v>10</v>
      </c>
      <c r="I31" s="23">
        <v>26196.83</v>
      </c>
    </row>
    <row r="32" spans="1:9" x14ac:dyDescent="0.25">
      <c r="B32" s="2"/>
      <c r="C32" s="2"/>
      <c r="D32" s="2"/>
      <c r="E32" s="2"/>
      <c r="F32" s="3"/>
      <c r="G32" s="3"/>
      <c r="H32" s="2"/>
      <c r="I32" s="7">
        <v>26196.83</v>
      </c>
    </row>
    <row r="33" spans="1:10" x14ac:dyDescent="0.25">
      <c r="I33" s="8"/>
    </row>
    <row r="34" spans="1:10" ht="16" x14ac:dyDescent="0.4">
      <c r="A34" s="4"/>
      <c r="B34" s="1" t="s">
        <v>0</v>
      </c>
      <c r="C34" s="1" t="s">
        <v>1</v>
      </c>
      <c r="D34" s="1" t="s">
        <v>2</v>
      </c>
      <c r="E34" s="1" t="s">
        <v>3</v>
      </c>
      <c r="F34" s="1" t="s">
        <v>4</v>
      </c>
      <c r="G34" s="1" t="s">
        <v>5</v>
      </c>
      <c r="H34" s="1" t="s">
        <v>6</v>
      </c>
      <c r="I34" s="9" t="s">
        <v>7</v>
      </c>
    </row>
    <row r="35" spans="1:10" ht="16" x14ac:dyDescent="0.4">
      <c r="A35" s="4">
        <v>29061940</v>
      </c>
      <c r="B35" s="21" t="s">
        <v>8</v>
      </c>
      <c r="C35" s="21" t="s">
        <v>53</v>
      </c>
      <c r="D35" s="21" t="s">
        <v>54</v>
      </c>
      <c r="E35" s="21" t="s">
        <v>55</v>
      </c>
      <c r="F35" s="22">
        <v>46097</v>
      </c>
      <c r="G35" s="22">
        <v>46097</v>
      </c>
      <c r="H35" s="21" t="s">
        <v>10</v>
      </c>
      <c r="I35" s="23">
        <v>-103.38</v>
      </c>
      <c r="J35" s="24"/>
    </row>
    <row r="36" spans="1:10" x14ac:dyDescent="0.25">
      <c r="B36" s="2"/>
      <c r="C36" s="2"/>
      <c r="D36" s="2"/>
      <c r="E36" s="2"/>
      <c r="F36" s="3"/>
      <c r="G36" s="3"/>
      <c r="H36" s="2"/>
      <c r="I36" s="7">
        <v>-103.38</v>
      </c>
    </row>
  </sheetData>
  <mergeCells count="5">
    <mergeCell ref="C1:F1"/>
    <mergeCell ref="C2:F2"/>
    <mergeCell ref="C3:F3"/>
    <mergeCell ref="C4:F4"/>
    <mergeCell ref="K8:L8"/>
  </mergeCells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E6BD-D9DD-4042-BC2F-A7AEFB6A0412}">
  <dimension ref="A1"/>
  <sheetViews>
    <sheetView workbookViewId="0"/>
  </sheetViews>
  <sheetFormatPr defaultRowHeight="12.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A0041-2727-41BB-A881-11BDEEB4645E}">
  <dimension ref="A1"/>
  <sheetViews>
    <sheetView workbookViewId="0"/>
  </sheetViews>
  <sheetFormatPr defaultRowHeight="12.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Lustig, Henk</dc:creator>
  <cp:lastModifiedBy>Lustig, Henk</cp:lastModifiedBy>
  <dcterms:created xsi:type="dcterms:W3CDTF">2026-03-09T11:31:51Z</dcterms:created>
  <dcterms:modified xsi:type="dcterms:W3CDTF">2026-03-19T16:26:29Z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2026-03-19T16:18:59Z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96018dd9-8c8f-4ab2-a55d-574caf68383b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